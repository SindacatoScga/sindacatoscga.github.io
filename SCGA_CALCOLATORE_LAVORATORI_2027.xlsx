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230df2677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ore" sheetId="1" r:id="R1eac247f811944e7"/>
    <x:sheet xmlns:r="http://schemas.openxmlformats.org/officeDocument/2006/relationships" name="Regole" sheetId="2" r:id="R95f8c108b661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€ #,##0.00"/>
    <x:numFmt numFmtId="202" formatCode="0.00&quot;x&quot;"/>
    <x:numFmt numFmtId="203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9"/>
      <x:color rgb="FF2C3E35"/>
      <x:name val="Carlito"/>
    </x:font>
    <x:font>
      <x:sz val="11"/>
      <x:color rgb="FF2C3E35"/>
      <x:name val="Carlito"/>
    </x:font>
    <x:font>
      <x:b/>
      <x:sz val="20"/>
      <x:color rgb="FF1E4D38"/>
      <x:name val="Carlito"/>
    </x:font>
    <x:font>
      <x:b/>
      <x:sz val="22"/>
      <x:color rgb="FF1E4D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4D38"/>
      </x:patternFill>
    </x:fill>
    <x:fill>
      <x:patternFill patternType="solid">
        <x:fgColor rgb="FF2C3E35"/>
      </x:patternFill>
    </x:fill>
    <x:fill>
      <x:patternFill patternType="solid">
        <x:fgColor rgb="FFF8F9FA"/>
      </x:patternFill>
    </x:fill>
    <x:fill>
      <x:patternFill patternType="solid">
        <x:fgColor rgb="FFFFF3D6"/>
      </x:patternFill>
    </x:fill>
    <x:fill>
      <x:patternFill patternType="solid">
        <x:fgColor rgb="FFF0F4F1"/>
      </x:patternFill>
    </x:fill>
    <x:fill>
      <x:patternFill patternType="solid">
        <x:fgColor rgb="FFEAF2ED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202" fontId="4" fillId="6" borderId="0" xfId="0" applyNumberFormat="1" applyFont="1" applyFill="1" applyBorder="1"/>
    <x:xf numFmtId="202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201" fontId="6" fillId="7" borderId="0" xfId="0" applyNumberFormat="1" applyFont="1" applyFill="1" applyBorder="1" applyAlignment="1">
      <x:alignment horizontal="center" vertical="center"/>
    </x:xf>
    <x:xf numFmtId="201" fontId="6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e614bc95d49e5" /><Relationship Type="http://schemas.openxmlformats.org/officeDocument/2006/relationships/theme" Target="/xl/theme/theme1.xml" Id="R808d52cb00a64411" /><Relationship Type="http://schemas.openxmlformats.org/officeDocument/2006/relationships/sharedStrings" Target="/xl/sharedStrings.xml" Id="R79cf18f79a8a4671" /><Relationship Type="http://schemas.openxmlformats.org/officeDocument/2006/relationships/worksheet" Target="/xl/worksheets/sheet1.xml" Id="R1eac247f811944e7" /><Relationship Type="http://schemas.openxmlformats.org/officeDocument/2006/relationships/worksheet" Target="/xl/worksheets/sheet2.xml" Id="R95f8c108b66143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  <x:col min="8" max="8" width="2" hidden="0" customWidth="1"/>
    <x:col min="9" max="9" width="2" hidden="0" customWidth="1"/>
  </x:cols>
  <x:sheetData>
    <x:row r="1" ht="30" customHeight="1">
      <x:c r="A1" s="5" t="str">
        <x:v>SCGA 2027 · Simulatore Premio per i lavoratori</x:v>
      </x:c>
      <x:c r="B1" s="5"/>
      <x:c r="C1" s="5"/>
      <x:c r="D1" s="5"/>
      <x:c r="E1" s="5"/>
      <x:c r="F1" s="5"/>
      <x:c r="H1" t="str">
        <x:v>Helper</x:v>
      </x:c>
      <x:c r="I1" t="str">
        <x:v>Valore</x:v>
      </x:c>
    </x:row>
    <x:row r="2">
      <x:c r="A2" s="28" t="str">
        <x:v>Strumento semplice di simulazione della proposta SCGA 2027 · non in vigore. Inserisci solo l'Indice SCGA ufficiale e i giorni di malattia computabili ai fini dell'assiduità.</x:v>
      </x:c>
      <x:c r="B2" s="28"/>
      <x:c r="C2" s="28"/>
      <x:c r="D2" s="28"/>
      <x:c r="E2" s="28"/>
      <x:c r="F2" s="28"/>
      <x:c r="I2" t="n">
        <x:f>IF($B$11&gt;=1,-0.1,0)</x:f>
        <x:v>0</x:v>
      </x:c>
    </x:row>
    <x:row r="3">
      <x:c r="A3" s="28"/>
      <x:c r="B3" s="28"/>
      <x:c r="C3" s="28"/>
      <x:c r="D3" s="28"/>
      <x:c r="E3" s="28"/>
      <x:c r="F3" s="28"/>
      <x:c r="I3" t="n">
        <x:f>IF($B$11&gt;=3,-0.15,0)</x:f>
        <x:v>0</x:v>
      </x:c>
    </x:row>
    <x:row r="4">
      <x:c r="I4" t="n">
        <x:f>IF($B$11&gt;=5,-0.15,0)</x:f>
        <x:v>0</x:v>
      </x:c>
    </x:row>
    <x:row r="5" ht="22" customHeight="1">
      <x:c r="A5" s="34" t="str">
        <x:v>1 · INDICE SCGA UFFICIALE</x:v>
      </x:c>
      <x:c r="B5" s="34"/>
      <x:c r="C5" s="34"/>
      <x:c r="D5" s="34" t="str">
        <x:v>PREMIO ORGANIZZATIVO</x:v>
      </x:c>
      <x:c r="E5" s="34"/>
      <x:c r="F5" s="34"/>
      <x:c r="I5" t="n">
        <x:f>IF($B$11&gt;=6,-0.1,0)</x:f>
        <x:v>0</x:v>
      </x:c>
    </x:row>
    <x:row r="6">
      <x:c r="A6" t="str">
        <x:v>Indice SCGA</x:v>
      </x:c>
      <x:c r="B6" s="42"/>
      <x:c r="D6" s="52" t="str">
        <x:f>IF(B6="","",IF(B6&lt;=Regole!$B$4,0,IF(B6&lt;=Regole!$B$5,(B6-Regole!$B$4)*Regole!$B$9,IF(B6&lt;=Regole!$B$6,Regole!$B$7+(B6-Regole!$B$5)*Regole!$B$10,Regole!$B$8))))</x:f>
      </x:c>
      <x:c r="E6" s="52"/>
      <x:c r="F6" s="52"/>
      <x:c r="I6" t="n">
        <x:f>IF($B$11&gt;=11,-0.05,0)</x:f>
        <x:v>0</x:v>
      </x:c>
    </x:row>
    <x:row r="7">
      <x:c r="D7" s="52"/>
      <x:c r="E7" s="52"/>
      <x:c r="F7" s="52"/>
      <x:c r="I7" t="n">
        <x:f>IF($B$11&gt;=16,-0.05,0)</x:f>
        <x:v>0</x:v>
      </x:c>
    </x:row>
    <x:row r="8">
      <x:c r="D8" s="52"/>
      <x:c r="E8" s="52"/>
      <x:c r="F8" s="52"/>
      <x:c r="I8" t="n">
        <x:f>IF($B$11&gt;=21,-0.3,0)</x:f>
        <x:v>0</x:v>
      </x:c>
    </x:row>
    <x:row r="9">
      <x:c r="I9"/>
    </x:row>
    <x:row r="10" ht="22" customHeight="1">
      <x:c r="A10" s="34" t="str">
        <x:v>2 · ASSIDUITÀ INDIVIDUALE</x:v>
      </x:c>
      <x:c r="B10" s="34"/>
      <x:c r="C10" s="34"/>
      <x:c r="D10" s="34" t="str">
        <x:v>PREMIO INDIVIDUALE TEORICO LORDO</x:v>
      </x:c>
      <x:c r="E10" s="34"/>
      <x:c r="F10" s="34"/>
    </x:row>
    <x:row r="11">
      <x:c r="A11" t="str">
        <x:v>Giorni di malattia computabili</x:v>
      </x:c>
      <x:c r="B11" s="54"/>
      <x:c r="D11" s="68" t="str">
        <x:f>IF(OR(ISBLANK(B6),ISBLANK(B11)),"",ROUND(D6*B13,2))</x:f>
      </x:c>
      <x:c r="E11" s="68"/>
      <x:c r="F11" s="68"/>
    </x:row>
    <x:row r="12">
      <x:c r="D12" s="68"/>
      <x:c r="E12" s="68"/>
      <x:c r="F12" s="68"/>
    </x:row>
    <x:row r="13">
      <x:c r="A13" s="56" t="str">
        <x:v>Coefficiente assiduità</x:v>
      </x:c>
      <x:c r="B13" s="58" t="str">
        <x:f>IF(ISBLANK(B11),"",1.4+SUM(I2:I8))</x:f>
      </x:c>
      <x:c r="C13"/>
      <x:c r="D13" s="68"/>
      <x:c r="E13" s="68"/>
      <x:c r="F13" s="68"/>
    </x:row>
    <x:row r="14">
      <x:c r="A14" s="56"/>
      <x:c r="B14" s="58"/>
      <x:c r="C14"/>
      <x:c r="D14" s="68"/>
      <x:c r="E14" s="68"/>
      <x:c r="F14" s="68"/>
    </x:row>
    <x:row r="17">
      <x:c r="A17" s="28" t="str">
        <x:v>ATTENZIONE · inserire soltanto i giorni di malattia che concorrono al coefficiente di assiduità. Nel CIA 2026–2028 sono esclusi dal conteggio: ricovero ospedaliero, lunga convalescenza post-intervento ospedaliero per gravi patologie, terapie salvavita certificate, permessi L.104, congedo maternità/paternità, permessi sindacali e assenza per infortunio.</x:v>
      </x:c>
      <x:c r="B17" s="28"/>
      <x:c r="C17" s="28"/>
      <x:c r="D17" s="28"/>
      <x:c r="E17" s="28"/>
      <x:c r="F17" s="28"/>
    </x:row>
    <x:row r="18">
      <x:c r="A18" s="28"/>
      <x:c r="B18" s="28"/>
      <x:c r="C18" s="28"/>
      <x:c r="D18" s="28"/>
      <x:c r="E18" s="28"/>
      <x:c r="F18" s="28"/>
    </x:row>
    <x:row r="19">
      <x:c r="A19" s="28"/>
      <x:c r="B19" s="28"/>
      <x:c r="C19" s="28"/>
      <x:c r="D19" s="28"/>
      <x:c r="E19" s="28"/>
      <x:c r="F19" s="28"/>
    </x:row>
    <x:row r="20">
      <x:c r="A20" s="28"/>
      <x:c r="B20" s="28"/>
      <x:c r="C20" s="28"/>
      <x:c r="D20" s="28"/>
      <x:c r="E20" s="28"/>
      <x:c r="F20" s="28"/>
    </x:row>
    <x:row r="22">
      <x:c r="A22" s="28" t="str">
        <x:v>Il risultato è una simulazione lorda teorica. Non considera fiscalità, contribuzione, pro-rata, cessazioni, rapporti a termine/somministrazione, sistemi incentivanti individuali o conversione welfare.</x:v>
      </x:c>
      <x:c r="B22" s="28"/>
      <x:c r="C22" s="28"/>
      <x:c r="D22" s="28"/>
      <x:c r="E22" s="28"/>
      <x:c r="F22" s="28"/>
    </x:row>
    <x:row r="23">
      <x:c r="A23" s="28"/>
      <x:c r="B23" s="28"/>
      <x:c r="C23" s="28"/>
      <x:c r="D23" s="28"/>
      <x:c r="E23" s="28"/>
      <x:c r="F23" s="28"/>
    </x:row>
    <x:row r="24">
      <x:c r="A24" s="28"/>
      <x:c r="B24" s="28"/>
      <x:c r="C24" s="28"/>
      <x:c r="D24" s="28"/>
      <x:c r="E24" s="28"/>
      <x:c r="F24" s="28"/>
    </x:row>
  </x:sheetData>
  <x:mergeCells>
    <x:mergeCell ref="A1:F1"/>
    <x:mergeCell ref="A2:F3"/>
    <x:mergeCell ref="A5:C5"/>
    <x:mergeCell ref="D5:F5"/>
    <x:mergeCell ref="D6:F8"/>
    <x:mergeCell ref="A10:C10"/>
    <x:mergeCell ref="D10:F10"/>
    <x:mergeCell ref="D11:F14"/>
    <x:mergeCell ref="A17:F20"/>
    <x:mergeCell ref="A22:F24"/>
  </x:mergeCells>
  <x:dataValidations count="2">
    <x:dataValidation type="decimal" operator="between" sqref="B6">
      <x:formula1>0</x:formula1>
      <x:formula2>200</x:formula2>
    </x:dataValidation>
    <x:dataValidation operator="between" sqref="B11">
      <x:formula1>0</x:formula1>
      <x:formula2>365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  <x:col min="6" max="6" width="18" hidden="0" customWidth="1"/>
    <x:col min="7" max="7" width="16" hidden="0" customWidth="1"/>
  </x:cols>
  <x:sheetData>
    <x:row r="1" ht="30" customHeight="1">
      <x:c r="A1" s="5" t="str">
        <x:v>SCGA 2027 · Regole del simulatore lavoratori</x:v>
      </x:c>
      <x:c r="B1" s="5"/>
      <x:c r="C1" s="5"/>
      <x:c r="D1" s="5"/>
    </x:row>
    <x:row r="3">
      <x:c r="A3" s="14" t="str">
        <x:v>Curva premio organizzativo</x:v>
      </x:c>
      <x:c r="B3" s="14" t="str">
        <x:v>Valore</x:v>
      </x:c>
    </x:row>
    <x:row r="4">
      <x:c r="A4" t="str">
        <x:v>Soglia zero</x:v>
      </x:c>
      <x:c r="B4" s="20" t="n">
        <x:v>92</x:v>
      </x:c>
    </x:row>
    <x:row r="5">
      <x:c r="A5" t="str">
        <x:v>Target centrale</x:v>
      </x:c>
      <x:c r="B5" s="20" t="n">
        <x:v>100</x:v>
      </x:c>
    </x:row>
    <x:row r="6">
      <x:c r="A6" t="str">
        <x:v>Soglia massima</x:v>
      </x:c>
      <x:c r="B6" s="20" t="n">
        <x:v>108</x:v>
      </x:c>
    </x:row>
    <x:row r="7">
      <x:c r="A7" t="str">
        <x:v>Premio a 100</x:v>
      </x:c>
      <x:c r="B7" s="22" t="n">
        <x:v>800</x:v>
      </x:c>
    </x:row>
    <x:row r="8">
      <x:c r="A8" t="str">
        <x:v>Premio massimo</x:v>
      </x:c>
      <x:c r="B8" s="22" t="n">
        <x:v>1100</x:v>
      </x:c>
    </x:row>
    <x:row r="9">
      <x:c r="A9" t="str">
        <x:v>Pendenza 92→100 (€ per punto)</x:v>
      </x:c>
      <x:c r="B9" s="22" t="n">
        <x:v>100</x:v>
      </x:c>
    </x:row>
    <x:row r="10">
      <x:c r="A10" t="str">
        <x:v>Pendenza 100→108 (€ per punto)</x:v>
      </x:c>
      <x:c r="B10" s="22" t="n">
        <x:v>37.5</x:v>
      </x:c>
    </x:row>
    <x:row r="12">
      <x:c r="A12" s="14" t="str">
        <x:v>Fascia assiduità</x:v>
      </x:c>
      <x:c r="B12" s="14" t="str">
        <x:v>Fino a giorni</x:v>
      </x:c>
      <x:c r="C12" s="14" t="str">
        <x:v>Coefficiente</x:v>
      </x:c>
      <x:c r="E12" s="14" t="str">
        <x:v>Da giorni</x:v>
      </x:c>
      <x:c r="F12" s="14" t="str">
        <x:v>Fascia</x:v>
      </x:c>
      <x:c r="G12" s="14" t="str">
        <x:v>Coefficiente</x:v>
      </x:c>
    </x:row>
    <x:row r="13">
      <x:c r="A13" t="str">
        <x:v>0 giorni</x:v>
      </x:c>
      <x:c r="B13" t="n">
        <x:v>0</x:v>
      </x:c>
      <x:c r="C13" s="24" t="n">
        <x:v>1.4</x:v>
      </x:c>
      <x:c r="E13" t="n">
        <x:v>0</x:v>
      </x:c>
      <x:c r="F13" t="str">
        <x:v>0 giorni</x:v>
      </x:c>
      <x:c r="G13" s="24" t="n">
        <x:v>1.4</x:v>
      </x:c>
    </x:row>
    <x:row r="14">
      <x:c r="A14" t="str">
        <x:v>1–2 giorni</x:v>
      </x:c>
      <x:c r="B14" t="n">
        <x:v>2</x:v>
      </x:c>
      <x:c r="C14" s="24" t="n">
        <x:v>1.3</x:v>
      </x:c>
      <x:c r="E14" t="n">
        <x:v>1</x:v>
      </x:c>
      <x:c r="F14" t="str">
        <x:v>1–2 giorni</x:v>
      </x:c>
      <x:c r="G14" s="24" t="n">
        <x:v>1.3</x:v>
      </x:c>
    </x:row>
    <x:row r="15">
      <x:c r="A15" t="str">
        <x:v>3–4 giorni</x:v>
      </x:c>
      <x:c r="B15" t="n">
        <x:v>4</x:v>
      </x:c>
      <x:c r="C15" s="24" t="n">
        <x:v>1.15</x:v>
      </x:c>
      <x:c r="E15" t="n">
        <x:v>3</x:v>
      </x:c>
      <x:c r="F15" t="str">
        <x:v>3–4 giorni</x:v>
      </x:c>
      <x:c r="G15" s="24" t="n">
        <x:v>1.15</x:v>
      </x:c>
    </x:row>
    <x:row r="16">
      <x:c r="A16" t="str">
        <x:v>5 giorni</x:v>
      </x:c>
      <x:c r="B16" t="n">
        <x:v>5</x:v>
      </x:c>
      <x:c r="C16" s="24" t="n">
        <x:v>1</x:v>
      </x:c>
      <x:c r="E16" t="n">
        <x:v>5</x:v>
      </x:c>
      <x:c r="F16" t="str">
        <x:v>5 giorni</x:v>
      </x:c>
      <x:c r="G16" s="24" t="n">
        <x:v>1</x:v>
      </x:c>
    </x:row>
    <x:row r="17">
      <x:c r="A17" t="str">
        <x:v>6–10 giorni</x:v>
      </x:c>
      <x:c r="B17" t="n">
        <x:v>10</x:v>
      </x:c>
      <x:c r="C17" s="24" t="n">
        <x:v>0.9</x:v>
      </x:c>
      <x:c r="E17" t="n">
        <x:v>6</x:v>
      </x:c>
      <x:c r="F17" t="str">
        <x:v>6–10 giorni</x:v>
      </x:c>
      <x:c r="G17" s="24" t="n">
        <x:v>0.9</x:v>
      </x:c>
    </x:row>
    <x:row r="18">
      <x:c r="A18" t="str">
        <x:v>11–15 giorni</x:v>
      </x:c>
      <x:c r="B18" t="n">
        <x:v>15</x:v>
      </x:c>
      <x:c r="C18" s="24" t="n">
        <x:v>0.85</x:v>
      </x:c>
      <x:c r="E18" t="n">
        <x:v>11</x:v>
      </x:c>
      <x:c r="F18" t="str">
        <x:v>11–15 giorni</x:v>
      </x:c>
      <x:c r="G18" s="24" t="n">
        <x:v>0.85</x:v>
      </x:c>
    </x:row>
    <x:row r="19">
      <x:c r="A19" t="str">
        <x:v>16–20 giorni</x:v>
      </x:c>
      <x:c r="B19" t="n">
        <x:v>20</x:v>
      </x:c>
      <x:c r="C19" s="24" t="n">
        <x:v>0.8</x:v>
      </x:c>
      <x:c r="E19" t="n">
        <x:v>16</x:v>
      </x:c>
      <x:c r="F19" t="str">
        <x:v>16–20 giorni</x:v>
      </x:c>
      <x:c r="G19" s="24" t="n">
        <x:v>0.8</x:v>
      </x:c>
    </x:row>
    <x:row r="20">
      <x:c r="A20" t="str">
        <x:v>&gt;20 giorni</x:v>
      </x:c>
      <x:c r="B20" t="n">
        <x:v>999</x:v>
      </x:c>
      <x:c r="C20" s="24" t="n">
        <x:v>0.5</x:v>
      </x:c>
      <x:c r="E20" t="n">
        <x:v>21</x:v>
      </x:c>
      <x:c r="F20" t="str">
        <x:v>&gt;20 giorni</x:v>
      </x:c>
      <x:c r="G20" s="24" t="n">
        <x:v>0.5</x:v>
      </x:c>
    </x:row>
    <x:row r="22">
      <x:c r="A22" s="28" t="str">
        <x:v>CIA 2026–2028 · assenze escluse dal conteggio dei giorni di malattia ai fini del coefficiente: ricovero ospedaliero; lunga convalescenza post-intervento ospedaliero conseguente a gravi patologie; terapie salvavita debitamente certificate; permessi Legge 104; congedo di maternità/paternità; permessi sindacali; assenza per infortunio.</x:v>
      </x:c>
      <x:c r="B22" s="28"/>
      <x:c r="C22" s="28"/>
      <x:c r="D22" s="28"/>
    </x:row>
    <x:row r="23">
      <x:c r="A23" s="28"/>
      <x:c r="B23" s="28"/>
      <x:c r="C23" s="28"/>
      <x:c r="D23" s="28"/>
    </x:row>
    <x:row r="24">
      <x:c r="A24" s="28"/>
      <x:c r="B24" s="28"/>
      <x:c r="C24" s="28"/>
      <x:c r="D24" s="28"/>
    </x:row>
    <x:row r="25">
      <x:c r="A25" s="28"/>
      <x:c r="B25" s="28"/>
      <x:c r="C25" s="28"/>
      <x:c r="D25" s="28"/>
    </x:row>
    <x:row r="26">
      <x:c r="A26" s="28"/>
      <x:c r="B26" s="28"/>
      <x:c r="C26" s="28"/>
      <x:c r="D26" s="28"/>
    </x:row>
    <x:row r="27">
      <x:c r="A27" s="28"/>
      <x:c r="B27" s="28"/>
      <x:c r="C27" s="28"/>
      <x:c r="D27" s="28"/>
    </x:row>
    <x:row r="29">
      <x:c r="A29" s="28" t="str">
        <x:v>Il simulatore non gestisce pro-rata, cessazioni, contratti a termine/somministrazione, sistemi di incentivazione individuale, conversione welfare o trattamento fiscale/contributivo. Tali aspetti restano disciplinati dal CIA e dall'eventuale accordo applicabile.</x:v>
      </x:c>
      <x:c r="B29" s="28"/>
      <x:c r="C29" s="28"/>
      <x:c r="D29" s="28"/>
    </x:row>
    <x:row r="30">
      <x:c r="A30" s="28"/>
      <x:c r="B30" s="28"/>
      <x:c r="C30" s="28"/>
      <x:c r="D30" s="28"/>
    </x:row>
    <x:row r="31">
      <x:c r="A31" s="28"/>
      <x:c r="B31" s="28"/>
      <x:c r="C31" s="28"/>
      <x:c r="D31" s="28"/>
    </x:row>
    <x:row r="32">
      <x:c r="A32" s="28"/>
      <x:c r="B32" s="28"/>
      <x:c r="C32" s="28"/>
      <x:c r="D32" s="28"/>
    </x:row>
    <x:row r="33">
      <x:c r="A33" s="28"/>
      <x:c r="B33" s="28"/>
      <x:c r="C33" s="28"/>
      <x:c r="D33" s="28"/>
    </x:row>
  </x:sheetData>
  <x:mergeCells>
    <x:mergeCell ref="A1:D1"/>
    <x:mergeCell ref="A22:D27"/>
    <x:mergeCell ref="A29:D33"/>
  </x:mergeCells>
  <x:pageMargins left="0.7" right="0.7" top="0.75" bottom="0.75" header="0.3" footer="0.3"/>
</x:worksheet>
</file>